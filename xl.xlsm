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\scrapexlpyth\"/>
    </mc:Choice>
  </mc:AlternateContent>
  <xr:revisionPtr revIDLastSave="0" documentId="13_ncr:1_{6FC5A33C-D7FE-4325-8C84-55116F57DEB4}" xr6:coauthVersionLast="47" xr6:coauthVersionMax="47" xr10:uidLastSave="{00000000-0000-0000-0000-000000000000}"/>
  <bookViews>
    <workbookView xWindow="2565" yWindow="615" windowWidth="6300" windowHeight="7665" xr2:uid="{C397975E-8DE1-471F-A976-8053D253C7F1}"/>
  </bookViews>
  <sheets>
    <sheet name="pracu" sheetId="4" r:id="rId1"/>
    <sheet name="Linked Picture" sheetId="1" r:id="rId2"/>
    <sheet name="Chart Fill" sheetId="2" r:id="rId3"/>
    <sheet name="UDF" sheetId="3" r:id="rId4"/>
  </sheets>
  <functionGroups builtInGroupCount="19"/>
  <externalReferences>
    <externalReference r:id="rId5"/>
  </externalReferences>
  <definedNames>
    <definedName name="Abeli">INDEX('Linked Picture'!$B$2:$B$10,MATCH(pracu!$G$15,'Linked Picture'!$A$2:$A$10,0))</definedName>
    <definedName name="Baruga">INDEX('Linked Picture'!$B$2:$B$10,MATCH(pracu!$G$12,'Linked Picture'!$A$2:$A$10,0))</definedName>
    <definedName name="Kadia">INDEX('Linked Picture'!$B$2:$B$10,MATCH(pracu!$G$10,'Linked Picture'!$A$2:$A$10,0))</definedName>
    <definedName name="Kambu">INDEX('Linked Picture'!$B$2:$B$10,MATCH(pracu!$G$14,'Linked Picture'!$A$2:$A$10,0))</definedName>
    <definedName name="Kendari">INDEX('Linked Picture'!$B$2:$B$10,MATCH(pracu!$G$6,'Linked Picture'!$A$2:$A$10,0))</definedName>
    <definedName name="Kendari_barat">INDEX('Linked Picture'!$B$2:$B$10,MATCH(pracu!$G$7,'Linked Picture'!$A$2:$A$10,0))</definedName>
    <definedName name="Mandonga">INDEX('Linked Picture'!$B$2:$B$10,MATCH(pracu!$G$8,'Linked Picture'!$A$2:$A$10,0))</definedName>
    <definedName name="PictureLookup">INDEX('Linked Picture'!$B$2:$B$10,MATCH('Linked Picture'!$D$2,'Linked Picture'!$A$2:$A$10,0))</definedName>
    <definedName name="plook">INDIRECT("list!"&amp;ADDRESS(3-1+MATCH([1]list!$A$3,[1]list!$A$3:$A$11,0),2))</definedName>
    <definedName name="Poasia">INDEX('Linked Picture'!$B$2:$B$10,MATCH(pracu!$G$13,'Linked Picture'!$A$2:$A$10,0))</definedName>
    <definedName name="Puwatu">INDEX('Linked Picture'!$B$2:$B$10,MATCH(pracu!$G$9,'Linked Picture'!$A$2:$A$10,0))</definedName>
    <definedName name="Wua_Wua">INDEX('Linked Picture'!$B$2:$B$10,MATCH(pracu!$G$11,'Linked Picture'!$A$2:$A$10,0))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 a="1"/>
  <c r="B3" i="2" s="1"/>
  <c r="B4" i="2" a="1"/>
  <c r="B4" i="2" s="1"/>
  <c r="B5" i="2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 s="1"/>
  <c r="B11" i="2" a="1"/>
  <c r="B11" i="2" s="1"/>
  <c r="B2" i="2" a="1"/>
  <c r="B2" i="2" s="1"/>
  <c r="D6" i="3" a="1"/>
  <c r="D16" i="3" a="1"/>
  <c r="D16" i="3" l="1"/>
  <c r="D6" i="3"/>
</calcChain>
</file>

<file path=xl/sharedStrings.xml><?xml version="1.0" encoding="utf-8"?>
<sst xmlns="http://schemas.openxmlformats.org/spreadsheetml/2006/main" count="65" uniqueCount="48">
  <si>
    <t>Country</t>
  </si>
  <si>
    <t>Australia</t>
  </si>
  <si>
    <t>Brazil</t>
  </si>
  <si>
    <t>Denmark</t>
  </si>
  <si>
    <t>Fiji</t>
  </si>
  <si>
    <t>Guatemala</t>
  </si>
  <si>
    <t>Italy</t>
  </si>
  <si>
    <t>Mexico</t>
  </si>
  <si>
    <t>Qatar</t>
  </si>
  <si>
    <t>Switzerland</t>
  </si>
  <si>
    <t>Zimbabwe</t>
  </si>
  <si>
    <t>Flag</t>
  </si>
  <si>
    <t>FilePath</t>
  </si>
  <si>
    <t>File Extension</t>
  </si>
  <si>
    <t>.png</t>
  </si>
  <si>
    <t>C:\Users\marks\OneDrive\Documents\Flags\</t>
  </si>
  <si>
    <t>Cerah</t>
  </si>
  <si>
    <t>Cerah Berawan</t>
  </si>
  <si>
    <t>Berawan</t>
  </si>
  <si>
    <t>Berawan Tebal</t>
  </si>
  <si>
    <t>Hujan Ringan</t>
  </si>
  <si>
    <t>Hujan Sedang</t>
  </si>
  <si>
    <t>Hujan Lebat</t>
  </si>
  <si>
    <t>Hujan Lebat Disertai Petir</t>
  </si>
  <si>
    <t>Badai Petir</t>
  </si>
  <si>
    <t>Tanggal</t>
  </si>
  <si>
    <t>No</t>
  </si>
  <si>
    <t>Nama Kecamatan</t>
  </si>
  <si>
    <t>Suhu Min</t>
  </si>
  <si>
    <t>Suhu Max</t>
  </si>
  <si>
    <t>RH min</t>
  </si>
  <si>
    <t>RH max</t>
  </si>
  <si>
    <t>Cuaca</t>
  </si>
  <si>
    <t>Gambar</t>
  </si>
  <si>
    <t>Wua Wua</t>
  </si>
  <si>
    <t>Baruga</t>
  </si>
  <si>
    <t>Poasia</t>
  </si>
  <si>
    <t>Kambu</t>
  </si>
  <si>
    <t>Abeli</t>
  </si>
  <si>
    <t>PRAKICU SULAWESI TENGGARA</t>
  </si>
  <si>
    <t>Kota Bau Bau</t>
  </si>
  <si>
    <t>Kota Kendari</t>
  </si>
  <si>
    <t>Konawe</t>
  </si>
  <si>
    <t>Bombana</t>
  </si>
  <si>
    <t>Konawe Selatan</t>
  </si>
  <si>
    <t>Senin, 21 Juni 2021</t>
  </si>
  <si>
    <t>Hujan Ringan / Light Rain</t>
  </si>
  <si>
    <t>Hujan Sedang / Rain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</si>
</sst>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hadow/>
      <sz val="32"/>
      <color rgb="FFF2F2F2"/>
      <name val="Eras Bold ITC"/>
      <family val="2"/>
    </font>
    <font>
      <sz val="11"/>
      <color theme="1"/>
      <name val="Eras Bold ITC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2" borderId="1" xfId="0" applyFill="1" applyBorder="1" applyAlignment="1">
      <alignment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0" fillId="3" borderId="0" xfId="0" applyFill="1"/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readingOrder="1"/>
    </xf>
    <xf numFmtId="0" fontId="0" fillId="0" borderId="0" xfId="0" applyAlignment="1"/>
  </cellXfs>
  <cellStyles count="1">
    <cellStyle name="Normal" xfId="0" builtinId="0"/>
  </cellStyles>
  <dxfs count="11"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png"/><Relationship Id="rId3" Type="http://schemas.openxmlformats.org/officeDocument/2006/relationships/image" Target="../media/image43.png"/><Relationship Id="rId7" Type="http://schemas.openxmlformats.org/officeDocument/2006/relationships/image" Target="../media/image47.png"/><Relationship Id="rId12" Type="http://schemas.openxmlformats.org/officeDocument/2006/relationships/image" Target="../media/image52.png"/><Relationship Id="rId2" Type="http://schemas.microsoft.com/office/2011/relationships/chartColorStyle" Target="colors1.xml"/><Relationship Id="rId1" Type="http://schemas.microsoft.com/office/2011/relationships/chartStyle" Target="style1.xml"/><Relationship Id="rId6" Type="http://schemas.openxmlformats.org/officeDocument/2006/relationships/image" Target="../media/image46.png"/><Relationship Id="rId11" Type="http://schemas.openxmlformats.org/officeDocument/2006/relationships/image" Target="../media/image51.png"/><Relationship Id="rId5" Type="http://schemas.openxmlformats.org/officeDocument/2006/relationships/image" Target="../media/image45.png"/><Relationship Id="rId10" Type="http://schemas.openxmlformats.org/officeDocument/2006/relationships/image" Target="../media/image50.png"/><Relationship Id="rId4" Type="http://schemas.openxmlformats.org/officeDocument/2006/relationships/image" Target="../media/image44.png"/><Relationship Id="rId9" Type="http://schemas.openxmlformats.org/officeDocument/2006/relationships/image" Target="../media/image49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'Chart Fill'!$A$2</c:f>
              <c:strCache>
                <c:ptCount val="1"/>
                <c:pt idx="0">
                  <c:v>Australia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val>
            <c:numRef>
              <c:f>'Chart Fill'!$B$2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2B-440F-95C4-820119C19B2D}"/>
            </c:ext>
          </c:extLst>
        </c:ser>
        <c:ser>
          <c:idx val="1"/>
          <c:order val="1"/>
          <c:tx>
            <c:strRef>
              <c:f>'Chart Fill'!$A$3</c:f>
              <c:strCache>
                <c:ptCount val="1"/>
                <c:pt idx="0">
                  <c:v>Brazil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val>
            <c:numRef>
              <c:f>'Chart Fill'!$B$3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2B-440F-95C4-820119C19B2D}"/>
            </c:ext>
          </c:extLst>
        </c:ser>
        <c:ser>
          <c:idx val="2"/>
          <c:order val="2"/>
          <c:tx>
            <c:strRef>
              <c:f>'Chart Fill'!$A$4</c:f>
              <c:strCache>
                <c:ptCount val="1"/>
                <c:pt idx="0">
                  <c:v>Denmark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val>
            <c:numRef>
              <c:f>'Chart Fill'!$B$4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2B-440F-95C4-820119C19B2D}"/>
            </c:ext>
          </c:extLst>
        </c:ser>
        <c:ser>
          <c:idx val="3"/>
          <c:order val="3"/>
          <c:tx>
            <c:strRef>
              <c:f>'Chart Fill'!$A$5</c:f>
              <c:strCache>
                <c:ptCount val="1"/>
                <c:pt idx="0">
                  <c:v>Fiji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val>
            <c:numRef>
              <c:f>'Chart Fill'!$B$5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2B-440F-95C4-820119C19B2D}"/>
            </c:ext>
          </c:extLst>
        </c:ser>
        <c:ser>
          <c:idx val="4"/>
          <c:order val="4"/>
          <c:tx>
            <c:strRef>
              <c:f>'Chart Fill'!$A$6</c:f>
              <c:strCache>
                <c:ptCount val="1"/>
                <c:pt idx="0">
                  <c:v>Guatemala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val>
            <c:numRef>
              <c:f>'Chart Fill'!$B$6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2B-440F-95C4-820119C19B2D}"/>
            </c:ext>
          </c:extLst>
        </c:ser>
        <c:ser>
          <c:idx val="5"/>
          <c:order val="5"/>
          <c:tx>
            <c:strRef>
              <c:f>'Chart Fill'!$A$7</c:f>
              <c:strCache>
                <c:ptCount val="1"/>
                <c:pt idx="0">
                  <c:v>Italy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val>
            <c:numRef>
              <c:f>'Chart Fill'!$B$7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2B-440F-95C4-820119C19B2D}"/>
            </c:ext>
          </c:extLst>
        </c:ser>
        <c:ser>
          <c:idx val="6"/>
          <c:order val="6"/>
          <c:tx>
            <c:strRef>
              <c:f>'Chart Fill'!$A$8</c:f>
              <c:strCache>
                <c:ptCount val="1"/>
                <c:pt idx="0">
                  <c:v>Mexico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val>
            <c:numRef>
              <c:f>'Chart Fill'!$B$8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2B-440F-95C4-820119C19B2D}"/>
            </c:ext>
          </c:extLst>
        </c:ser>
        <c:ser>
          <c:idx val="7"/>
          <c:order val="7"/>
          <c:tx>
            <c:strRef>
              <c:f>'Chart Fill'!$A$9</c:f>
              <c:strCache>
                <c:ptCount val="1"/>
                <c:pt idx="0">
                  <c:v>Qatar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val>
            <c:numRef>
              <c:f>'Chart Fill'!$B$9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2B-440F-95C4-820119C19B2D}"/>
            </c:ext>
          </c:extLst>
        </c:ser>
        <c:ser>
          <c:idx val="8"/>
          <c:order val="8"/>
          <c:tx>
            <c:strRef>
              <c:f>'Chart Fill'!$A$10</c:f>
              <c:strCache>
                <c:ptCount val="1"/>
                <c:pt idx="0">
                  <c:v>Switzerland</c:v>
                </c:pt>
              </c:strCache>
            </c:strRef>
          </c:tx>
          <c:spPr>
            <a:blipFill>
              <a:blip xmlns:r="http://schemas.openxmlformats.org/officeDocument/2006/relationships" r:embed="rId11"/>
              <a:stretch>
                <a:fillRect/>
              </a:stretch>
            </a:blipFill>
            <a:ln>
              <a:noFill/>
            </a:ln>
            <a:effectLst/>
          </c:spPr>
          <c:invertIfNegative val="0"/>
          <c:val>
            <c:numRef>
              <c:f>'Chart Fill'!$B$10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2B-440F-95C4-820119C19B2D}"/>
            </c:ext>
          </c:extLst>
        </c:ser>
        <c:ser>
          <c:idx val="9"/>
          <c:order val="9"/>
          <c:tx>
            <c:strRef>
              <c:f>'Chart Fill'!$A$11</c:f>
              <c:strCache>
                <c:ptCount val="1"/>
                <c:pt idx="0">
                  <c:v>Zimbabwe</c:v>
                </c:pt>
              </c:strCache>
            </c:strRef>
          </c:tx>
          <c:spPr>
            <a:blipFill>
              <a:blip xmlns:r="http://schemas.openxmlformats.org/officeDocument/2006/relationships" r:embed="rId12"/>
              <a:stretch>
                <a:fillRect/>
              </a:stretch>
            </a:blipFill>
            <a:ln>
              <a:noFill/>
            </a:ln>
            <a:effectLst/>
          </c:spPr>
          <c:invertIfNegative val="0"/>
          <c:val>
            <c:numRef>
              <c:f>'Chart Fill'!$B$11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2B-440F-95C4-820119C19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85909616"/>
        <c:axId val="685913552"/>
      </c:barChart>
      <c:catAx>
        <c:axId val="6859096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85913552"/>
        <c:crosses val="autoZero"/>
        <c:auto val="1"/>
        <c:lblAlgn val="ctr"/>
        <c:lblOffset val="100"/>
        <c:noMultiLvlLbl val="0"/>
      </c:catAx>
      <c:valAx>
        <c:axId val="685913552"/>
        <c:scaling>
          <c:orientation val="minMax"/>
          <c:max val="1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8590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3.png"/><Relationship Id="rId18" Type="http://schemas.openxmlformats.org/officeDocument/2006/relationships/image" Target="../media/image38.svg"/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12" Type="http://schemas.openxmlformats.org/officeDocument/2006/relationships/image" Target="../media/image32.svg"/><Relationship Id="rId17" Type="http://schemas.openxmlformats.org/officeDocument/2006/relationships/image" Target="../media/image37.png"/><Relationship Id="rId2" Type="http://schemas.openxmlformats.org/officeDocument/2006/relationships/image" Target="../media/image22.svg"/><Relationship Id="rId16" Type="http://schemas.openxmlformats.org/officeDocument/2006/relationships/image" Target="../media/image36.svg"/><Relationship Id="rId20" Type="http://schemas.openxmlformats.org/officeDocument/2006/relationships/image" Target="../media/image40.emf"/><Relationship Id="rId1" Type="http://schemas.openxmlformats.org/officeDocument/2006/relationships/image" Target="../media/image21.png"/><Relationship Id="rId6" Type="http://schemas.openxmlformats.org/officeDocument/2006/relationships/image" Target="../media/image26.svg"/><Relationship Id="rId11" Type="http://schemas.openxmlformats.org/officeDocument/2006/relationships/image" Target="../media/image31.png"/><Relationship Id="rId5" Type="http://schemas.openxmlformats.org/officeDocument/2006/relationships/image" Target="../media/image25.png"/><Relationship Id="rId15" Type="http://schemas.openxmlformats.org/officeDocument/2006/relationships/image" Target="../media/image35.png"/><Relationship Id="rId10" Type="http://schemas.openxmlformats.org/officeDocument/2006/relationships/image" Target="../media/image30.svg"/><Relationship Id="rId19" Type="http://schemas.openxmlformats.org/officeDocument/2006/relationships/image" Target="../media/image39.emf"/><Relationship Id="rId4" Type="http://schemas.openxmlformats.org/officeDocument/2006/relationships/image" Target="../media/image24.svg"/><Relationship Id="rId9" Type="http://schemas.openxmlformats.org/officeDocument/2006/relationships/image" Target="../media/image29.png"/><Relationship Id="rId14" Type="http://schemas.openxmlformats.org/officeDocument/2006/relationships/image" Target="../media/image34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10" Type="http://schemas.openxmlformats.org/officeDocument/2006/relationships/image" Target="../media/image20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</xdr:row>
          <xdr:rowOff>57150</xdr:rowOff>
        </xdr:from>
        <xdr:to>
          <xdr:col>7</xdr:col>
          <xdr:colOff>1247775</xdr:colOff>
          <xdr:row>5</xdr:row>
          <xdr:rowOff>723900</xdr:rowOff>
        </xdr:to>
        <xdr:pic>
          <xdr:nvPicPr>
            <xdr:cNvPr id="8" name="Picture 14">
              <a:extLst>
                <a:ext uri="{FF2B5EF4-FFF2-40B4-BE49-F238E27FC236}">
                  <a16:creationId xmlns:a16="http://schemas.microsoft.com/office/drawing/2014/main" id="{C3F07A11-7311-4CA1-840D-4A95DAB10A3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Kendari" spid="_x0000_s44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>
            <a:xfrm>
              <a:off x="6324600" y="1400175"/>
              <a:ext cx="1143000" cy="666750"/>
            </a:xfrm>
            <a:prstGeom prst="rect">
              <a:avLst/>
            </a:prstGeom>
            <a:ln>
              <a:noFill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7</xdr:col>
          <xdr:colOff>1143000</xdr:colOff>
          <xdr:row>14</xdr:row>
          <xdr:rowOff>666750</xdr:rowOff>
        </xdr:to>
        <xdr:pic>
          <xdr:nvPicPr>
            <xdr:cNvPr id="9" name="Picture 14">
              <a:extLst>
                <a:ext uri="{FF2B5EF4-FFF2-40B4-BE49-F238E27FC236}">
                  <a16:creationId xmlns:a16="http://schemas.microsoft.com/office/drawing/2014/main" id="{45270117-6507-490C-A9D1-A5DDBD95A275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Abeli" spid="_x0000_s446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>
            <a:xfrm>
              <a:off x="6219825" y="10306050"/>
              <a:ext cx="1143000" cy="6667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</xdr:row>
          <xdr:rowOff>19050</xdr:rowOff>
        </xdr:from>
        <xdr:to>
          <xdr:col>7</xdr:col>
          <xdr:colOff>1247775</xdr:colOff>
          <xdr:row>6</xdr:row>
          <xdr:rowOff>685800</xdr:rowOff>
        </xdr:to>
        <xdr:pic>
          <xdr:nvPicPr>
            <xdr:cNvPr id="10" name="Picture 14">
              <a:extLst>
                <a:ext uri="{FF2B5EF4-FFF2-40B4-BE49-F238E27FC236}">
                  <a16:creationId xmlns:a16="http://schemas.microsoft.com/office/drawing/2014/main" id="{25209C04-2B22-49B4-B6DC-C3F03732E788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Kendari_barat" spid="_x0000_s446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>
            <a:xfrm>
              <a:off x="6105525" y="2114550"/>
              <a:ext cx="1143000" cy="6667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7</xdr:col>
          <xdr:colOff>1143000</xdr:colOff>
          <xdr:row>7</xdr:row>
          <xdr:rowOff>666750</xdr:rowOff>
        </xdr:to>
        <xdr:pic>
          <xdr:nvPicPr>
            <xdr:cNvPr id="11" name="Picture 14">
              <a:extLst>
                <a:ext uri="{FF2B5EF4-FFF2-40B4-BE49-F238E27FC236}">
                  <a16:creationId xmlns:a16="http://schemas.microsoft.com/office/drawing/2014/main" id="{25B21ECB-7B15-427B-82CC-8EED76F99A12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Mandonga" spid="_x0000_s4463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>
            <a:xfrm>
              <a:off x="6219825" y="3571875"/>
              <a:ext cx="1143000" cy="6667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7</xdr:col>
          <xdr:colOff>1143000</xdr:colOff>
          <xdr:row>8</xdr:row>
          <xdr:rowOff>666750</xdr:rowOff>
        </xdr:to>
        <xdr:pic>
          <xdr:nvPicPr>
            <xdr:cNvPr id="12" name="Picture 14">
              <a:extLst>
                <a:ext uri="{FF2B5EF4-FFF2-40B4-BE49-F238E27FC236}">
                  <a16:creationId xmlns:a16="http://schemas.microsoft.com/office/drawing/2014/main" id="{1804BD75-184B-4556-B0D0-BCDB93FAF9D8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uwatu" spid="_x0000_s4464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>
            <a:xfrm>
              <a:off x="6219825" y="4533900"/>
              <a:ext cx="1143000" cy="6667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7</xdr:col>
          <xdr:colOff>1143000</xdr:colOff>
          <xdr:row>9</xdr:row>
          <xdr:rowOff>666750</xdr:rowOff>
        </xdr:to>
        <xdr:pic>
          <xdr:nvPicPr>
            <xdr:cNvPr id="13" name="Picture 14">
              <a:extLst>
                <a:ext uri="{FF2B5EF4-FFF2-40B4-BE49-F238E27FC236}">
                  <a16:creationId xmlns:a16="http://schemas.microsoft.com/office/drawing/2014/main" id="{8EE34F5A-7771-42AC-88D1-5D81113C9D73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Kadia" spid="_x0000_s4465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>
            <a:xfrm>
              <a:off x="6219825" y="5495925"/>
              <a:ext cx="1143000" cy="6667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7</xdr:col>
          <xdr:colOff>1143000</xdr:colOff>
          <xdr:row>10</xdr:row>
          <xdr:rowOff>666750</xdr:rowOff>
        </xdr:to>
        <xdr:pic>
          <xdr:nvPicPr>
            <xdr:cNvPr id="14" name="Picture 14">
              <a:extLst>
                <a:ext uri="{FF2B5EF4-FFF2-40B4-BE49-F238E27FC236}">
                  <a16:creationId xmlns:a16="http://schemas.microsoft.com/office/drawing/2014/main" id="{3D5FD5C9-9CF9-4E5B-BC6D-C589E9D0305B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Wua_Wua" spid="_x0000_s446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>
            <a:xfrm>
              <a:off x="6219825" y="6457950"/>
              <a:ext cx="1143000" cy="6667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7</xdr:col>
          <xdr:colOff>1143000</xdr:colOff>
          <xdr:row>11</xdr:row>
          <xdr:rowOff>666750</xdr:rowOff>
        </xdr:to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F7E6920C-5D3C-42B1-8498-CE876AA21838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Baruga" spid="_x0000_s4467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>
            <a:xfrm>
              <a:off x="6219825" y="7419975"/>
              <a:ext cx="1143000" cy="6667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7</xdr:col>
          <xdr:colOff>1143000</xdr:colOff>
          <xdr:row>12</xdr:row>
          <xdr:rowOff>666750</xdr:rowOff>
        </xdr:to>
        <xdr:pic>
          <xdr:nvPicPr>
            <xdr:cNvPr id="16" name="Picture 14">
              <a:extLst>
                <a:ext uri="{FF2B5EF4-FFF2-40B4-BE49-F238E27FC236}">
                  <a16:creationId xmlns:a16="http://schemas.microsoft.com/office/drawing/2014/main" id="{D0EA9C20-61D3-4A72-B93E-79C347765811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oasia" spid="_x0000_s446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>
            <a:xfrm>
              <a:off x="6219825" y="8382000"/>
              <a:ext cx="1143000" cy="6667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7</xdr:col>
          <xdr:colOff>1143000</xdr:colOff>
          <xdr:row>13</xdr:row>
          <xdr:rowOff>666750</xdr:rowOff>
        </xdr:to>
        <xdr:pic>
          <xdr:nvPicPr>
            <xdr:cNvPr id="17" name="Picture 14">
              <a:extLst>
                <a:ext uri="{FF2B5EF4-FFF2-40B4-BE49-F238E27FC236}">
                  <a16:creationId xmlns:a16="http://schemas.microsoft.com/office/drawing/2014/main" id="{C6402A78-4D6C-4A4C-90B2-1BB14CFE4004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Kambu" spid="_x0000_s4469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>
            <a:xfrm>
              <a:off x="6219825" y="9344025"/>
              <a:ext cx="1143000" cy="666750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268941</xdr:colOff>
      <xdr:row>1</xdr:row>
      <xdr:rowOff>28575</xdr:rowOff>
    </xdr:from>
    <xdr:to>
      <xdr:col>1</xdr:col>
      <xdr:colOff>874059</xdr:colOff>
      <xdr:row>1</xdr:row>
      <xdr:rowOff>633693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2CC170F-E58C-49BB-B306-2F4A67314B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1411941" y="247650"/>
          <a:ext cx="605118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201706</xdr:colOff>
      <xdr:row>2</xdr:row>
      <xdr:rowOff>28575</xdr:rowOff>
    </xdr:from>
    <xdr:to>
      <xdr:col>1</xdr:col>
      <xdr:colOff>941294</xdr:colOff>
      <xdr:row>2</xdr:row>
      <xdr:rowOff>633693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C7742E3-F755-4CCE-99F0-BD5B8B785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44706" y="914400"/>
          <a:ext cx="739588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155481</xdr:colOff>
      <xdr:row>3</xdr:row>
      <xdr:rowOff>28575</xdr:rowOff>
    </xdr:from>
    <xdr:to>
      <xdr:col>1</xdr:col>
      <xdr:colOff>987518</xdr:colOff>
      <xdr:row>3</xdr:row>
      <xdr:rowOff>633693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D1C7AF3B-47C9-4AA3-A4E2-C38B93751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1298481" y="1581150"/>
          <a:ext cx="832037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67235</xdr:colOff>
      <xdr:row>4</xdr:row>
      <xdr:rowOff>28575</xdr:rowOff>
    </xdr:from>
    <xdr:to>
      <xdr:col>1</xdr:col>
      <xdr:colOff>1075765</xdr:colOff>
      <xdr:row>4</xdr:row>
      <xdr:rowOff>633693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E31A7FCF-AED3-4A3C-ABA2-8D12328FB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1210235" y="2247900"/>
          <a:ext cx="1008530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238685</xdr:colOff>
      <xdr:row>5</xdr:row>
      <xdr:rowOff>28575</xdr:rowOff>
    </xdr:from>
    <xdr:to>
      <xdr:col>1</xdr:col>
      <xdr:colOff>904314</xdr:colOff>
      <xdr:row>5</xdr:row>
      <xdr:rowOff>633693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F35D6D3-CCCA-446E-B064-592D305C1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1381685" y="2914650"/>
          <a:ext cx="665629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238685</xdr:colOff>
      <xdr:row>6</xdr:row>
      <xdr:rowOff>28575</xdr:rowOff>
    </xdr:from>
    <xdr:to>
      <xdr:col>1</xdr:col>
      <xdr:colOff>904314</xdr:colOff>
      <xdr:row>6</xdr:row>
      <xdr:rowOff>633693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57D3602-0905-4193-AEDA-DC5ECBA5E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>
          <a:off x="1381685" y="3581400"/>
          <a:ext cx="665629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201706</xdr:colOff>
      <xdr:row>7</xdr:row>
      <xdr:rowOff>28575</xdr:rowOff>
    </xdr:from>
    <xdr:to>
      <xdr:col>1</xdr:col>
      <xdr:colOff>941294</xdr:colOff>
      <xdr:row>7</xdr:row>
      <xdr:rowOff>633693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2BFE9BC6-A8F1-41D9-B809-DC75F5713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rcRect/>
        <a:stretch/>
      </xdr:blipFill>
      <xdr:spPr>
        <a:xfrm>
          <a:off x="1344706" y="4248150"/>
          <a:ext cx="739588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268941</xdr:colOff>
      <xdr:row>8</xdr:row>
      <xdr:rowOff>28575</xdr:rowOff>
    </xdr:from>
    <xdr:to>
      <xdr:col>1</xdr:col>
      <xdr:colOff>874059</xdr:colOff>
      <xdr:row>8</xdr:row>
      <xdr:rowOff>633693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5BBDFC5F-BD95-4695-B635-A3E2F5507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>
          <a:off x="1411941" y="4914900"/>
          <a:ext cx="605118" cy="605118"/>
        </a:xfrm>
        <a:prstGeom prst="rect">
          <a:avLst/>
        </a:prstGeom>
      </xdr:spPr>
    </xdr:pic>
    <xdr:clientData/>
  </xdr:twoCellAnchor>
  <xdr:twoCellAnchor editAs="oneCell">
    <xdr:from>
      <xdr:col>1</xdr:col>
      <xdr:colOff>268941</xdr:colOff>
      <xdr:row>9</xdr:row>
      <xdr:rowOff>28575</xdr:rowOff>
    </xdr:from>
    <xdr:to>
      <xdr:col>1</xdr:col>
      <xdr:colOff>874059</xdr:colOff>
      <xdr:row>9</xdr:row>
      <xdr:rowOff>633693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88E5C099-0F0F-43EA-9EEA-4D0CC2A48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rcRect/>
        <a:stretch/>
      </xdr:blipFill>
      <xdr:spPr>
        <a:xfrm>
          <a:off x="1411941" y="5581650"/>
          <a:ext cx="605118" cy="6051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28576</xdr:colOff>
          <xdr:row>1</xdr:row>
          <xdr:rowOff>47626</xdr:rowOff>
        </xdr:from>
        <xdr:to>
          <xdr:col>5</xdr:col>
          <xdr:colOff>21868</xdr:colOff>
          <xdr:row>2</xdr:row>
          <xdr:rowOff>47626</xdr:rowOff>
        </xdr:to>
        <xdr:pic>
          <xdr:nvPicPr>
            <xdr:cNvPr id="34" name="Picture 33">
              <a:extLst>
                <a:ext uri="{FF2B5EF4-FFF2-40B4-BE49-F238E27FC236}">
                  <a16:creationId xmlns:a16="http://schemas.microsoft.com/office/drawing/2014/main" id="{AE862987-3B57-4FB0-846B-8184C53C793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ictureLookup" spid="_x0000_s128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4600576" y="266701"/>
              <a:ext cx="1136292" cy="6667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38101</xdr:colOff>
          <xdr:row>2</xdr:row>
          <xdr:rowOff>28576</xdr:rowOff>
        </xdr:from>
        <xdr:ext cx="1136292" cy="666750"/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F6A61F88-F4CD-4D9C-B36A-BE68489CACD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ictureLookup" spid="_x0000_s1288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4610101" y="914401"/>
              <a:ext cx="1136292" cy="6667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9524</xdr:colOff>
      <xdr:row>1</xdr:row>
      <xdr:rowOff>0</xdr:rowOff>
    </xdr:from>
    <xdr:to>
      <xdr:col>5</xdr:col>
      <xdr:colOff>1142999</xdr:colOff>
      <xdr:row>3</xdr:row>
      <xdr:rowOff>0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4A9D3965-A877-4139-89BD-9594B5165E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yth/pptx/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acu"/>
      <sheetName val="list"/>
    </sheetNames>
    <sheetDataSet>
      <sheetData sheetId="0"/>
      <sheetData sheetId="1">
        <row r="3">
          <cell r="A3" t="str">
            <v>Cerah</v>
          </cell>
        </row>
        <row r="4">
          <cell r="A4" t="str">
            <v>Cerah Berawan</v>
          </cell>
        </row>
        <row r="5">
          <cell r="A5" t="str">
            <v>Berawan</v>
          </cell>
        </row>
        <row r="6">
          <cell r="A6" t="str">
            <v>Berawan Tebal</v>
          </cell>
        </row>
        <row r="7">
          <cell r="A7" t="str">
            <v>Hujan Ringan</v>
          </cell>
        </row>
        <row r="8">
          <cell r="A8" t="str">
            <v>Hujan Sedang</v>
          </cell>
        </row>
        <row r="9">
          <cell r="A9" t="str">
            <v>Hujan Lebat</v>
          </cell>
        </row>
        <row r="10">
          <cell r="A10" t="str">
            <v>Hujan Lebat Disertai Petir</v>
          </cell>
        </row>
        <row r="11">
          <cell r="A11" t="str">
            <v>Badai Petir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E9EF1F-9FCC-481D-A435-635457A4EE34}" name="Table1" displayName="Table1" ref="A5:H19" totalsRowShown="0" headerRowDxfId="10" dataDxfId="9" tableBorderDxfId="8">
  <autoFilter ref="A5:H19" xr:uid="{A317A0DB-79CE-4E17-B526-B4ED6BFFC595}"/>
  <tableColumns count="8">
    <tableColumn id="1" xr3:uid="{B53E3779-FFE6-46AB-97D8-3A1B7E18F9AC}" name="No" dataDxfId="7"/>
    <tableColumn id="2" xr3:uid="{12918F3F-F74E-4DFB-A8A4-7EE6AE1B84D6}" name="Nama Kecamatan" dataDxfId="6"/>
    <tableColumn id="3" xr3:uid="{3F8C5B15-06DA-46C9-9572-BD63E7EF8505}" name="Suhu Min" dataDxfId="5"/>
    <tableColumn id="4" xr3:uid="{6B27B0EA-12AE-4CCE-BF6A-56865BCDA3DB}" name="Suhu Max" dataDxfId="4"/>
    <tableColumn id="5" xr3:uid="{DF448687-8B7B-4615-9652-8A8C8FBB1161}" name="RH min" dataDxfId="3"/>
    <tableColumn id="6" xr3:uid="{10E27F2F-5860-4E07-9577-8DF683DB5AB7}" name="RH max" dataDxfId="2"/>
    <tableColumn id="9" xr3:uid="{C83DD1CE-31BE-4F66-B179-FE391CBCB8F1}" name="Cuaca" dataDxfId="1"/>
    <tableColumn id="7" xr3:uid="{BF89462F-9ADA-4D2E-A9CC-6794C56C7536}" name="Gambar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6AD88-B88F-4F88-820B-FD14234DEF7D}">
  <dimension ref="A1:H19"/>
  <sheetViews>
    <sheetView showGridLines="0" tabSelected="1" topLeftCell="A3" zoomScaleNormal="100" zoomScaleSheetLayoutView="100" workbookViewId="0">
      <selection activeCell="H7" sqref="H7"/>
    </sheetView>
  </sheetViews>
  <sheetFormatPr defaultRowHeight="15" x14ac:dyDescent="0.25"/>
  <cols>
    <col min="1" max="1" width="5.7109375" customWidth="1"/>
    <col min="2" max="2" width="18.42578125" customWidth="1"/>
    <col min="3" max="6" width="10" customWidth="1"/>
    <col min="7" max="7" width="25.85546875" customWidth="1"/>
    <col min="8" max="8" width="19.7109375" customWidth="1"/>
  </cols>
  <sheetData>
    <row r="1" spans="1:8" x14ac:dyDescent="0.25">
      <c r="A1" s="15" t="s">
        <v>39</v>
      </c>
      <c r="B1" s="15"/>
      <c r="C1" s="15"/>
      <c r="D1" s="15"/>
      <c r="E1" s="15"/>
      <c r="F1" s="15"/>
      <c r="G1" s="15"/>
      <c r="H1" s="15"/>
    </row>
    <row r="2" spans="1:8" x14ac:dyDescent="0.25">
      <c r="A2" s="15"/>
      <c r="B2" s="15"/>
      <c r="C2" s="15"/>
      <c r="D2" s="15"/>
      <c r="E2" s="15"/>
      <c r="F2" s="15"/>
      <c r="G2" s="15"/>
      <c r="H2" s="15"/>
    </row>
    <row r="3" spans="1:8" x14ac:dyDescent="0.25">
      <c r="A3" s="15"/>
      <c r="B3" s="15"/>
      <c r="C3" s="15"/>
      <c r="D3" s="15"/>
      <c r="E3" s="15"/>
      <c r="F3" s="15"/>
      <c r="G3" s="15"/>
      <c r="H3" s="15"/>
    </row>
    <row r="4" spans="1:8" ht="45.75" customHeight="1" x14ac:dyDescent="0.25">
      <c r="A4" s="17" t="s">
        <v>25</v>
      </c>
      <c r="B4" s="17">
        <v>20210620</v>
      </c>
      <c r="C4" s="16" t="s">
        <v>45</v>
      </c>
      <c r="D4" s="16"/>
      <c r="E4" s="16"/>
      <c r="F4" s="16"/>
      <c r="G4" s="16"/>
      <c r="H4" s="16"/>
    </row>
    <row r="5" spans="1:8" x14ac:dyDescent="0.25">
      <c r="A5" s="8" t="s">
        <v>26</v>
      </c>
      <c r="B5" s="8" t="s">
        <v>27</v>
      </c>
      <c r="C5" s="8" t="s">
        <v>28</v>
      </c>
      <c r="D5" s="8" t="s">
        <v>29</v>
      </c>
      <c r="E5" s="8" t="s">
        <v>30</v>
      </c>
      <c r="F5" s="8" t="s">
        <v>31</v>
      </c>
      <c r="G5" s="8" t="s">
        <v>32</v>
      </c>
      <c r="H5" s="8" t="s">
        <v>33</v>
      </c>
    </row>
    <row r="6" spans="1:8" ht="59.25" customHeight="1" x14ac:dyDescent="0.25">
      <c r="A6" s="9">
        <v>1</v>
      </c>
      <c r="B6" s="10" t="s">
        <v>40</v>
      </c>
      <c r="C6" s="9">
        <v>23</v>
      </c>
      <c r="D6" s="9">
        <v>31</v>
      </c>
      <c r="E6" s="9">
        <v>70</v>
      </c>
      <c r="F6" s="9">
        <v>95</v>
      </c>
      <c r="G6" s="13" t="s">
        <v>46</v>
      </c>
      <c r="H6" s="14"/>
    </row>
    <row r="7" spans="1:8" ht="54.95" customHeight="1" x14ac:dyDescent="0.25">
      <c r="A7" s="9">
        <v>2</v>
      </c>
      <c r="B7" s="10" t="s">
        <v>41</v>
      </c>
      <c r="C7" s="9">
        <v>23</v>
      </c>
      <c r="D7" s="9">
        <v>30</v>
      </c>
      <c r="E7" s="9">
        <v>70</v>
      </c>
      <c r="F7" s="9">
        <v>95</v>
      </c>
      <c r="G7" s="13" t="s">
        <v>47</v>
      </c>
      <c r="H7" s="14"/>
    </row>
    <row r="8" spans="1:8" ht="54.95" customHeight="1" x14ac:dyDescent="0.25">
      <c r="A8" s="9">
        <v>3</v>
      </c>
      <c r="B8" s="10" t="s">
        <v>42</v>
      </c>
      <c r="C8" s="9"/>
      <c r="D8" s="9"/>
      <c r="E8" s="9"/>
      <c r="F8" s="9"/>
      <c r="G8" s="13"/>
      <c r="H8" s="14"/>
    </row>
    <row r="9" spans="1:8" ht="54.95" customHeight="1" x14ac:dyDescent="0.25">
      <c r="A9" s="9">
        <v>4</v>
      </c>
      <c r="B9" s="10" t="s">
        <v>43</v>
      </c>
      <c r="C9" s="9"/>
      <c r="D9" s="9"/>
      <c r="E9" s="9"/>
      <c r="F9" s="9"/>
      <c r="G9" s="13"/>
      <c r="H9" s="14"/>
    </row>
    <row r="10" spans="1:8" ht="54.95" customHeight="1" x14ac:dyDescent="0.25">
      <c r="A10" s="9">
        <v>5</v>
      </c>
      <c r="B10" s="10" t="s">
        <v>44</v>
      </c>
      <c r="C10" s="9"/>
      <c r="D10" s="9"/>
      <c r="E10" s="9"/>
      <c r="F10" s="9"/>
      <c r="G10" s="13"/>
      <c r="H10" s="14"/>
    </row>
    <row r="11" spans="1:8" ht="54.95" customHeight="1" x14ac:dyDescent="0.25">
      <c r="A11" s="9">
        <v>6</v>
      </c>
      <c r="B11" s="10" t="s">
        <v>34</v>
      </c>
      <c r="C11" s="9"/>
      <c r="D11" s="9"/>
      <c r="E11" s="9"/>
      <c r="F11" s="9"/>
      <c r="G11" s="13"/>
      <c r="H11" s="14"/>
    </row>
    <row r="12" spans="1:8" ht="54.95" customHeight="1" x14ac:dyDescent="0.25">
      <c r="A12" s="9">
        <v>7</v>
      </c>
      <c r="B12" s="10" t="s">
        <v>35</v>
      </c>
      <c r="C12" s="9"/>
      <c r="D12" s="9"/>
      <c r="E12" s="9"/>
      <c r="F12" s="9"/>
      <c r="G12" s="13"/>
      <c r="H12" s="14"/>
    </row>
    <row r="13" spans="1:8" ht="54.95" customHeight="1" x14ac:dyDescent="0.25">
      <c r="A13" s="9">
        <v>8</v>
      </c>
      <c r="B13" s="10" t="s">
        <v>36</v>
      </c>
      <c r="C13" s="9"/>
      <c r="D13" s="9"/>
      <c r="E13" s="9"/>
      <c r="F13" s="9"/>
      <c r="G13" s="13"/>
      <c r="H13" s="14"/>
    </row>
    <row r="14" spans="1:8" ht="54.95" customHeight="1" x14ac:dyDescent="0.25">
      <c r="A14" s="9">
        <v>9</v>
      </c>
      <c r="B14" s="10" t="s">
        <v>37</v>
      </c>
      <c r="C14" s="9"/>
      <c r="D14" s="9"/>
      <c r="E14" s="9"/>
      <c r="F14" s="9"/>
      <c r="G14" s="13"/>
      <c r="H14" s="14"/>
    </row>
    <row r="15" spans="1:8" ht="54.95" customHeight="1" x14ac:dyDescent="0.25">
      <c r="A15" s="9">
        <v>10</v>
      </c>
      <c r="B15" s="10" t="s">
        <v>38</v>
      </c>
      <c r="C15" s="9"/>
      <c r="D15" s="9"/>
      <c r="E15" s="9"/>
      <c r="F15" s="9"/>
      <c r="G15" s="13"/>
      <c r="H15" s="14"/>
    </row>
    <row r="16" spans="1:8" ht="54.95" customHeight="1" x14ac:dyDescent="0.25">
      <c r="A16" s="9">
        <v>11</v>
      </c>
      <c r="B16" s="10"/>
      <c r="C16" s="9"/>
      <c r="D16" s="9"/>
      <c r="E16" s="9"/>
      <c r="F16" s="9"/>
      <c r="G16" s="13"/>
      <c r="H16" s="14"/>
    </row>
    <row r="17" spans="1:8" ht="54.95" customHeight="1" x14ac:dyDescent="0.25">
      <c r="A17" s="9">
        <v>12</v>
      </c>
      <c r="B17" s="10"/>
      <c r="C17" s="9"/>
      <c r="D17" s="9"/>
      <c r="E17" s="9"/>
      <c r="F17" s="9"/>
      <c r="G17" s="13"/>
      <c r="H17" s="14"/>
    </row>
    <row r="18" spans="1:8" ht="54.95" customHeight="1" x14ac:dyDescent="0.25">
      <c r="A18" s="9">
        <v>13</v>
      </c>
      <c r="B18" s="10"/>
      <c r="C18" s="9"/>
      <c r="D18" s="9"/>
      <c r="E18" s="9"/>
      <c r="F18" s="9"/>
      <c r="G18" s="13"/>
      <c r="H18" s="14"/>
    </row>
    <row r="19" spans="1:8" ht="54.95" customHeight="1" x14ac:dyDescent="0.25">
      <c r="A19" s="11">
        <v>14</v>
      </c>
      <c r="B19" s="12"/>
      <c r="C19" s="11"/>
      <c r="D19" s="11"/>
      <c r="E19" s="11"/>
      <c r="F19" s="11"/>
      <c r="G19" s="13"/>
      <c r="H19" s="14"/>
    </row>
  </sheetData>
  <mergeCells count="2">
    <mergeCell ref="A1:H3"/>
    <mergeCell ref="C4:H4"/>
  </mergeCells>
  <pageMargins left="0.7" right="0.7" top="0.75" bottom="0.75" header="0.3" footer="0.3"/>
  <pageSetup paperSize="9" scale="70" orientation="portrait" horizontalDpi="0" verticalDpi="0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promptTitle="Cuaca" xr:uid="{754DAD3F-87ED-4E56-A50E-CF204CC5BECD}">
          <x14:formula1>
            <xm:f>'Linked Picture'!$A$2:$A$10</xm:f>
          </x14:formula1>
          <xm:sqref>G6:G19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9DBB9-FBC2-4E74-BE4B-59FDCD94AAD4}">
  <sheetPr codeName="Sheet1"/>
  <dimension ref="A1:E10"/>
  <sheetViews>
    <sheetView zoomScaleNormal="100" workbookViewId="0">
      <selection activeCell="C8" sqref="C8"/>
    </sheetView>
  </sheetViews>
  <sheetFormatPr defaultRowHeight="15" x14ac:dyDescent="0.25"/>
  <cols>
    <col min="1" max="1" width="23.85546875" bestFit="1" customWidth="1"/>
    <col min="2" max="8" width="17.140625" customWidth="1"/>
  </cols>
  <sheetData>
    <row r="1" spans="1:5" ht="17.25" x14ac:dyDescent="0.4">
      <c r="A1" s="1" t="s">
        <v>0</v>
      </c>
      <c r="B1" s="4" t="s">
        <v>11</v>
      </c>
    </row>
    <row r="2" spans="1:5" ht="52.5" customHeight="1" x14ac:dyDescent="0.25">
      <c r="A2" s="5" t="s">
        <v>16</v>
      </c>
      <c r="B2" s="6"/>
      <c r="D2" s="3" t="s">
        <v>18</v>
      </c>
      <c r="E2" s="7"/>
    </row>
    <row r="3" spans="1:5" ht="52.5" customHeight="1" x14ac:dyDescent="0.25">
      <c r="A3" s="5" t="s">
        <v>17</v>
      </c>
      <c r="B3" s="6"/>
      <c r="E3" s="7"/>
    </row>
    <row r="4" spans="1:5" ht="52.5" customHeight="1" x14ac:dyDescent="0.25">
      <c r="A4" s="5" t="s">
        <v>18</v>
      </c>
      <c r="B4" s="6"/>
    </row>
    <row r="5" spans="1:5" ht="52.5" customHeight="1" x14ac:dyDescent="0.25">
      <c r="A5" s="5" t="s">
        <v>19</v>
      </c>
      <c r="B5" s="6"/>
    </row>
    <row r="6" spans="1:5" ht="52.5" customHeight="1" x14ac:dyDescent="0.25">
      <c r="A6" s="5" t="s">
        <v>20</v>
      </c>
      <c r="B6" s="6"/>
    </row>
    <row r="7" spans="1:5" ht="52.5" customHeight="1" x14ac:dyDescent="0.25">
      <c r="A7" s="5" t="s">
        <v>21</v>
      </c>
      <c r="B7" s="6"/>
    </row>
    <row r="8" spans="1:5" ht="52.5" customHeight="1" x14ac:dyDescent="0.25">
      <c r="A8" s="5" t="s">
        <v>22</v>
      </c>
      <c r="B8" s="6"/>
    </row>
    <row r="9" spans="1:5" ht="52.5" customHeight="1" x14ac:dyDescent="0.25">
      <c r="A9" s="5" t="s">
        <v>23</v>
      </c>
      <c r="B9" s="6"/>
    </row>
    <row r="10" spans="1:5" ht="52.5" customHeight="1" x14ac:dyDescent="0.25">
      <c r="A10" s="5" t="s">
        <v>24</v>
      </c>
      <c r="B10" s="6"/>
    </row>
  </sheetData>
  <dataValidations count="1">
    <dataValidation type="list" allowBlank="1" showInputMessage="1" showErrorMessage="1" sqref="D2" xr:uid="{EE209F07-A7FF-4FA3-A4A2-E7872AF5DBA1}">
      <formula1>$A$2:$A$10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53696-F00C-4A31-940D-E01D598486C1}">
  <sheetPr codeName="Sheet2"/>
  <dimension ref="A1:D11"/>
  <sheetViews>
    <sheetView workbookViewId="0"/>
  </sheetViews>
  <sheetFormatPr defaultRowHeight="15" x14ac:dyDescent="0.25"/>
  <cols>
    <col min="1" max="8" width="17.140625" customWidth="1"/>
  </cols>
  <sheetData>
    <row r="1" spans="1:4" ht="17.25" x14ac:dyDescent="0.4">
      <c r="A1" s="1" t="s">
        <v>0</v>
      </c>
      <c r="B1" s="4" t="s">
        <v>11</v>
      </c>
    </row>
    <row r="2" spans="1:4" ht="52.5" customHeight="1" x14ac:dyDescent="0.25">
      <c r="A2" s="2" t="s">
        <v>1</v>
      </c>
      <c r="B2" s="5" t="e">
        <f t="array" ref="B2">IF(VLOOKUP(A2,$D$2,1,0)=A2,1,NA())</f>
        <v>#N/A</v>
      </c>
      <c r="D2" s="3" t="s">
        <v>2</v>
      </c>
    </row>
    <row r="3" spans="1:4" ht="52.5" customHeight="1" x14ac:dyDescent="0.25">
      <c r="A3" s="2" t="s">
        <v>2</v>
      </c>
      <c r="B3" s="5">
        <f t="array" ref="B3">IF(VLOOKUP(A3,$D$2,1,0)=A3,1,NA())</f>
        <v>1</v>
      </c>
    </row>
    <row r="4" spans="1:4" ht="52.5" customHeight="1" x14ac:dyDescent="0.25">
      <c r="A4" s="2" t="s">
        <v>3</v>
      </c>
      <c r="B4" s="5" t="e">
        <f t="array" ref="B4">IF(VLOOKUP(A4,$D$2,1,0)=A4,1,NA())</f>
        <v>#N/A</v>
      </c>
    </row>
    <row r="5" spans="1:4" ht="52.5" customHeight="1" x14ac:dyDescent="0.25">
      <c r="A5" s="2" t="s">
        <v>4</v>
      </c>
      <c r="B5" s="5" t="e">
        <f t="array" ref="B5">IF(VLOOKUP(A5,$D$2,1,0)=A5,1,NA())</f>
        <v>#N/A</v>
      </c>
    </row>
    <row r="6" spans="1:4" ht="52.5" customHeight="1" x14ac:dyDescent="0.25">
      <c r="A6" s="2" t="s">
        <v>5</v>
      </c>
      <c r="B6" s="5" t="e">
        <f t="array" ref="B6">IF(VLOOKUP(A6,$D$2,1,0)=A6,1,NA())</f>
        <v>#N/A</v>
      </c>
    </row>
    <row r="7" spans="1:4" ht="52.5" customHeight="1" x14ac:dyDescent="0.25">
      <c r="A7" s="2" t="s">
        <v>6</v>
      </c>
      <c r="B7" s="5" t="e">
        <f t="array" ref="B7">IF(VLOOKUP(A7,$D$2,1,0)=A7,1,NA())</f>
        <v>#N/A</v>
      </c>
    </row>
    <row r="8" spans="1:4" ht="52.5" customHeight="1" x14ac:dyDescent="0.25">
      <c r="A8" s="2" t="s">
        <v>7</v>
      </c>
      <c r="B8" s="5" t="e">
        <f t="array" ref="B8">IF(VLOOKUP(A8,$D$2,1,0)=A8,1,NA())</f>
        <v>#N/A</v>
      </c>
    </row>
    <row r="9" spans="1:4" ht="52.5" customHeight="1" x14ac:dyDescent="0.25">
      <c r="A9" s="2" t="s">
        <v>8</v>
      </c>
      <c r="B9" s="5" t="e">
        <f t="array" ref="B9">IF(VLOOKUP(A9,$D$2,1,0)=A9,1,NA())</f>
        <v>#N/A</v>
      </c>
    </row>
    <row r="10" spans="1:4" ht="52.5" customHeight="1" x14ac:dyDescent="0.25">
      <c r="A10" s="2" t="s">
        <v>9</v>
      </c>
      <c r="B10" s="5" t="e">
        <f t="array" ref="B10">IF(VLOOKUP(A10,$D$2,1,0)=A10,1,NA())</f>
        <v>#N/A</v>
      </c>
    </row>
    <row r="11" spans="1:4" ht="52.5" customHeight="1" x14ac:dyDescent="0.25">
      <c r="A11" s="2" t="s">
        <v>10</v>
      </c>
      <c r="B11" s="5" t="e">
        <f t="array" ref="B11">IF(VLOOKUP(A11,$D$2,1,0)=A11,1,NA())</f>
        <v>#N/A</v>
      </c>
    </row>
  </sheetData>
  <dataValidations count="1">
    <dataValidation type="list" allowBlank="1" showInputMessage="1" showErrorMessage="1" sqref="D2" xr:uid="{925A0F6D-6C01-4DEB-AD81-5382BECC3EF4}">
      <formula1>$A$2:$A$11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A31D5-5A70-4E1A-8335-7A3E53A61572}">
  <sheetPr codeName="Sheet3"/>
  <dimension ref="A1:D16"/>
  <sheetViews>
    <sheetView workbookViewId="0"/>
  </sheetViews>
  <sheetFormatPr defaultRowHeight="15" x14ac:dyDescent="0.25"/>
  <cols>
    <col min="1" max="3" width="17.140625" customWidth="1"/>
    <col min="4" max="4" width="34.28515625" customWidth="1"/>
    <col min="5" max="7" width="17.140625" customWidth="1"/>
  </cols>
  <sheetData>
    <row r="1" spans="1:4" ht="17.25" x14ac:dyDescent="0.4">
      <c r="A1" s="1" t="s">
        <v>0</v>
      </c>
    </row>
    <row r="2" spans="1:4" x14ac:dyDescent="0.25">
      <c r="A2" s="2" t="s">
        <v>1</v>
      </c>
      <c r="C2" t="s">
        <v>12</v>
      </c>
      <c r="D2" t="s">
        <v>15</v>
      </c>
    </row>
    <row r="3" spans="1:4" x14ac:dyDescent="0.25">
      <c r="A3" s="2" t="s">
        <v>2</v>
      </c>
    </row>
    <row r="4" spans="1:4" x14ac:dyDescent="0.25">
      <c r="A4" s="2" t="s">
        <v>3</v>
      </c>
      <c r="C4" t="s">
        <v>13</v>
      </c>
      <c r="D4" t="s">
        <v>14</v>
      </c>
    </row>
    <row r="5" spans="1:4" x14ac:dyDescent="0.25">
      <c r="A5" s="2" t="s">
        <v>4</v>
      </c>
    </row>
    <row r="6" spans="1:4" x14ac:dyDescent="0.25">
      <c r="A6" s="2" t="s">
        <v>5</v>
      </c>
      <c r="C6" s="3" t="s">
        <v>2</v>
      </c>
      <c r="D6" t="e">
        <f t="array" ref="D6">PictureLookupUDF(D2&amp;C6&amp;D4,D7:D13,1)</f>
        <v>#VALUE!</v>
      </c>
    </row>
    <row r="7" spans="1:4" x14ac:dyDescent="0.25">
      <c r="A7" s="2" t="s">
        <v>6</v>
      </c>
    </row>
    <row r="8" spans="1:4" x14ac:dyDescent="0.25">
      <c r="A8" s="2" t="s">
        <v>7</v>
      </c>
      <c r="C8" s="2"/>
    </row>
    <row r="9" spans="1:4" x14ac:dyDescent="0.25">
      <c r="A9" s="2" t="s">
        <v>8</v>
      </c>
    </row>
    <row r="10" spans="1:4" x14ac:dyDescent="0.25">
      <c r="A10" s="2" t="s">
        <v>9</v>
      </c>
    </row>
    <row r="11" spans="1:4" x14ac:dyDescent="0.25">
      <c r="A11" s="2" t="s">
        <v>10</v>
      </c>
      <c r="C11" s="2"/>
    </row>
    <row r="12" spans="1:4" x14ac:dyDescent="0.25">
      <c r="C12" s="2"/>
    </row>
    <row r="13" spans="1:4" x14ac:dyDescent="0.25">
      <c r="C13" s="2"/>
    </row>
    <row r="16" spans="1:4" x14ac:dyDescent="0.25">
      <c r="C16" s="3" t="s">
        <v>8</v>
      </c>
      <c r="D16" t="e">
        <f t="array" ref="D16">PictureLookupUDF(D2&amp;C16&amp;D4,D17:D23,2)</f>
        <v>#VALUE!</v>
      </c>
    </row>
  </sheetData>
  <dataValidations count="1">
    <dataValidation type="list" allowBlank="1" showInputMessage="1" showErrorMessage="1" sqref="C6 C16" xr:uid="{1677796E-90D9-4CA9-B78E-90121875CA9B}">
      <formula1>$A$2:$A$11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pracu</vt:lpstr>
      <vt:lpstr>Linked Picture</vt:lpstr>
      <vt:lpstr>Chart Fill</vt:lpstr>
      <vt:lpstr>UDF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Off The Grid</dc:creator>
  <cp:lastModifiedBy>Amar Daapala</cp:lastModifiedBy>
  <dcterms:created xsi:type="dcterms:W3CDTF">2019-11-30T20:14:32Z</dcterms:created>
  <dcterms:modified xsi:type="dcterms:W3CDTF">2021-06-20T23:42:44Z</dcterms:modified>
</cp:coreProperties>
</file>